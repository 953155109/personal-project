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硬装清单" sheetId="2" r:id="rId5"/>
    <sheet name="软装清单" sheetId="3" r:id="rId6"/>
    <sheet name="总预算汇总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<sst xmlns="http://schemas.openxmlformats.org/spreadsheetml/2006/main" count="192" uniqueCount="192">
  <si>
    <t xml:space="preserve">  </t>
  </si>
  <si>
    <t xml:space="preserve">万科城市花园105㎡户型装修硬装清单</t>
  </si>
  <si>
    <t xml:space="preserve">序号</t>
  </si>
  <si>
    <t xml:space="preserve">位置</t>
  </si>
  <si>
    <t xml:space="preserve">项目名称</t>
  </si>
  <si>
    <t xml:space="preserve">规格/品牌</t>
  </si>
  <si>
    <t xml:space="preserve">单位</t>
  </si>
  <si>
    <t xml:space="preserve">数量</t>
  </si>
  <si>
    <t xml:space="preserve">单价(元)</t>
  </si>
  <si>
    <t xml:space="preserve">总价(元)</t>
  </si>
  <si>
    <t xml:space="preserve">备注</t>
  </si>
  <si>
    <t xml:space="preserve">厨房</t>
  </si>
  <si>
    <t xml:space="preserve">三折推拉门</t>
  </si>
  <si>
    <t xml:space="preserve">钛镁合金，超白长虹玻璃</t>
  </si>
  <si>
    <t xml:space="preserve">樘</t>
  </si>
  <si>
    <t xml:space="preserve">含安装</t>
  </si>
  <si>
    <t xml:space="preserve">厨房门瓷砖通铺</t>
  </si>
  <si>
    <t xml:space="preserve">浅灰哑光防滑砖</t>
  </si>
  <si>
    <t xml:space="preserve">㎡</t>
  </si>
  <si>
    <t xml:space="preserve">含人工、辅料</t>
  </si>
  <si>
    <t xml:space="preserve">整体橱柜定制</t>
  </si>
  <si>
    <t xml:space="preserve">浅橡木多层板，石英石台面</t>
  </si>
  <si>
    <t xml:space="preserve">延米</t>
  </si>
  <si>
    <t xml:space="preserve">含五金、安装</t>
  </si>
  <si>
    <t xml:space="preserve">水电改造</t>
  </si>
  <si>
    <t xml:space="preserve">国标电线、水管</t>
  </si>
  <si>
    <t xml:space="preserve">项</t>
  </si>
  <si>
    <t xml:space="preserve">含人工、材料</t>
  </si>
  <si>
    <t xml:space="preserve">防水工程</t>
  </si>
  <si>
    <t xml:space="preserve">柔性防水，两遍涂刷</t>
  </si>
  <si>
    <t xml:space="preserve">闭水试验48小时</t>
  </si>
  <si>
    <t xml:space="preserve">集成吊顶</t>
  </si>
  <si>
    <t xml:space="preserve">铝扣板，300*600mm</t>
  </si>
  <si>
    <t xml:space="preserve">含灯具、安装</t>
  </si>
  <si>
    <t xml:space="preserve">南向大阳台</t>
  </si>
  <si>
    <t xml:space="preserve">阳台铝柜定制</t>
  </si>
  <si>
    <t xml:space="preserve">浅橡木多层板</t>
  </si>
  <si>
    <t xml:space="preserve">含洗衣机位、安装</t>
  </si>
  <si>
    <t xml:space="preserve">阳台推拉门</t>
  </si>
  <si>
    <t xml:space="preserve">断桥铝双层中空玻璃</t>
  </si>
  <si>
    <t xml:space="preserve">含安装、五金</t>
  </si>
  <si>
    <t xml:space="preserve">瓷砖铺贴</t>
  </si>
  <si>
    <t xml:space="preserve">北向小阳台</t>
  </si>
  <si>
    <t xml:space="preserve">阳台改造</t>
  </si>
  <si>
    <t xml:space="preserve">瓷砖铺贴、防水</t>
  </si>
  <si>
    <t xml:space="preserve">卫生间A（主卧）</t>
  </si>
  <si>
    <t xml:space="preserve">卫生间整体改造</t>
  </si>
  <si>
    <t xml:space="preserve">含拆改、水电、防水</t>
  </si>
  <si>
    <t xml:space="preserve">卫生间B（公卫）</t>
  </si>
  <si>
    <t xml:space="preserve">两个卫生间</t>
  </si>
  <si>
    <t xml:space="preserve">卫生间门</t>
  </si>
  <si>
    <t xml:space="preserve">钛镁合金平开门</t>
  </si>
  <si>
    <t xml:space="preserve">三个卧室</t>
  </si>
  <si>
    <t xml:space="preserve">地板改木纹砖</t>
  </si>
  <si>
    <t xml:space="preserve">浅橡木木纹砖</t>
  </si>
  <si>
    <t xml:space="preserve">定制衣柜</t>
  </si>
  <si>
    <t xml:space="preserve">浅橡木多层板，通顶</t>
  </si>
  <si>
    <t xml:space="preserve">卧室门</t>
  </si>
  <si>
    <t xml:space="preserve">实木复合门，浅橡木色</t>
  </si>
  <si>
    <t xml:space="preserve">卧室吊顶</t>
  </si>
  <si>
    <t xml:space="preserve">双眼皮吊顶，石膏板</t>
  </si>
  <si>
    <t xml:space="preserve">全屋</t>
  </si>
  <si>
    <t xml:space="preserve">踢脚线</t>
  </si>
  <si>
    <t xml:space="preserve">浅橡木实木踢脚线</t>
  </si>
  <si>
    <t xml:space="preserve">m</t>
  </si>
  <si>
    <t xml:space="preserve">墙面乳胶漆</t>
  </si>
  <si>
    <t xml:space="preserve">立邦奶白色，两遍面漆</t>
  </si>
  <si>
    <t xml:space="preserve">客餐厅吊顶</t>
  </si>
  <si>
    <t xml:space="preserve">开荒保洁</t>
  </si>
  <si>
    <t xml:space="preserve">全屋深度清洁</t>
  </si>
  <si>
    <t xml:space="preserve">含玻璃、地面清洁</t>
  </si>
  <si>
    <t xml:space="preserve">材料运输及上楼费</t>
  </si>
  <si>
    <t xml:space="preserve">含所有材料运输</t>
  </si>
  <si>
    <t xml:space="preserve">装修管理费及税费</t>
  </si>
  <si>
    <t xml:space="preserve">含施工管理、税点</t>
  </si>
  <si>
    <t xml:space="preserve">硬装总预算</t>
  </si>
  <si>
    <t xml:space="preserve">万科城市花园105㎡户型装修软装清单</t>
  </si>
  <si>
    <t xml:space="preserve">序号</t>
  </si>
  <si>
    <t xml:space="preserve">位置</t>
  </si>
  <si>
    <t xml:space="preserve">产品名称</t>
  </si>
  <si>
    <t xml:space="preserve">品牌/规格</t>
  </si>
  <si>
    <t xml:space="preserve">单位</t>
  </si>
  <si>
    <t xml:space="preserve">数量</t>
  </si>
  <si>
    <t xml:space="preserve">单价(元)</t>
  </si>
  <si>
    <t xml:space="preserve">总价(元)</t>
  </si>
  <si>
    <t xml:space="preserve">备注</t>
  </si>
  <si>
    <t xml:space="preserve">厨房</t>
  </si>
  <si>
    <t xml:space="preserve">法式冰箱</t>
  </si>
  <si>
    <t xml:space="preserve">容声503 pro 600mm</t>
  </si>
  <si>
    <t xml:space="preserve">台</t>
  </si>
  <si>
    <t xml:space="preserve">京东采购</t>
  </si>
  <si>
    <t xml:space="preserve">2</t>
  </si>
  <si>
    <t xml:space="preserve">洗碗机</t>
  </si>
  <si>
    <t xml:space="preserve">美的13套嵌入式</t>
  </si>
  <si>
    <t xml:space="preserve">¥2,500.00</t>
  </si>
  <si>
    <t xml:space="preserve">京东采购，含安装</t>
  </si>
  <si>
    <t xml:space="preserve">微蒸烤箱</t>
  </si>
  <si>
    <t xml:space="preserve">苏泊尔</t>
  </si>
  <si>
    <t xml:space="preserve">燃气热水器</t>
  </si>
  <si>
    <t xml:space="preserve">海尔KL3 pro</t>
  </si>
  <si>
    <t xml:space="preserve">厨房小电器套装</t>
  </si>
  <si>
    <t xml:space="preserve">电饭煲、破壁机、空气炸锅</t>
  </si>
  <si>
    <t xml:space="preserve">套</t>
  </si>
  <si>
    <t xml:space="preserve">含锅碗瓢盆</t>
  </si>
  <si>
    <t xml:space="preserve">餐厅</t>
  </si>
  <si>
    <t xml:space="preserve">可伸缩岛台</t>
  </si>
  <si>
    <t xml:space="preserve">奶油风现代简约</t>
  </si>
  <si>
    <t xml:space="preserve">个</t>
  </si>
  <si>
    <t xml:space="preserve">淘宝采购</t>
  </si>
  <si>
    <t xml:space="preserve">岩板圆餐桌</t>
  </si>
  <si>
    <t xml:space="preserve">1.35米奶油风</t>
  </si>
  <si>
    <t xml:space="preserve">张</t>
  </si>
  <si>
    <t xml:space="preserve">实木餐椅</t>
  </si>
  <si>
    <t xml:space="preserve">浅橡木色，藤编靠背</t>
  </si>
  <si>
    <t xml:space="preserve">把</t>
  </si>
  <si>
    <t xml:space="preserve">餐厅吊灯</t>
  </si>
  <si>
    <t xml:space="preserve">4灯奶油风吊灯</t>
  </si>
  <si>
    <t xml:space="preserve">餐边柜</t>
  </si>
  <si>
    <t xml:space="preserve">浅橡木色，通顶</t>
  </si>
  <si>
    <t xml:space="preserve">定制</t>
  </si>
  <si>
    <t xml:space="preserve">客厅</t>
  </si>
  <si>
    <t xml:space="preserve">75寸智能电视</t>
  </si>
  <si>
    <t xml:space="preserve">小米 s75 mini</t>
  </si>
  <si>
    <t xml:space="preserve">京东采购，含伸缩支架</t>
  </si>
  <si>
    <t xml:space="preserve">棉麻布艺沙发</t>
  </si>
  <si>
    <t xml:space="preserve">浅卡其色，三人位+贵妃榻</t>
  </si>
  <si>
    <t xml:space="preserve">实木圆形茶几</t>
  </si>
  <si>
    <t xml:space="preserve">浅橡木色，直径80cm</t>
  </si>
  <si>
    <t xml:space="preserve">悬空电视柜</t>
  </si>
  <si>
    <t xml:space="preserve">浅橡木色，1.8米</t>
  </si>
  <si>
    <t xml:space="preserve">客厅灯具</t>
  </si>
  <si>
    <t xml:space="preserve">无主灯磁吸灯+筒灯</t>
  </si>
  <si>
    <t xml:space="preserve">含安装</t>
  </si>
  <si>
    <t xml:space="preserve">全屋窗帘</t>
  </si>
  <si>
    <t xml:space="preserve">亚麻纱帘+遮光帘，米白色</t>
  </si>
  <si>
    <t xml:space="preserve">含安装，全屋6个窗户</t>
  </si>
  <si>
    <t xml:space="preserve">客厅地毯</t>
  </si>
  <si>
    <t xml:space="preserve">浅米色短毛，2*3米</t>
  </si>
  <si>
    <t xml:space="preserve">主卧（卧室B）</t>
  </si>
  <si>
    <t xml:space="preserve">1.8米实木床</t>
  </si>
  <si>
    <t xml:space="preserve">浅橡木色，简约款</t>
  </si>
  <si>
    <t xml:space="preserve">主卧</t>
  </si>
  <si>
    <t xml:space="preserve">天然乳胶床垫</t>
  </si>
  <si>
    <t xml:space="preserve">1.8*2米</t>
  </si>
  <si>
    <t xml:space="preserve">L型梳妆台</t>
  </si>
  <si>
    <t xml:space="preserve">浅橡木色</t>
  </si>
  <si>
    <t xml:space="preserve">卧室灯具</t>
  </si>
  <si>
    <t xml:space="preserve">吸顶灯+床头壁灯</t>
  </si>
  <si>
    <t xml:space="preserve">次卧A（卧室A）</t>
  </si>
  <si>
    <t xml:space="preserve">1.5米实木床</t>
  </si>
  <si>
    <t xml:space="preserve">次卧A</t>
  </si>
  <si>
    <t xml:space="preserve">弹簧床垫</t>
  </si>
  <si>
    <t xml:space="preserve">1.5*2米</t>
  </si>
  <si>
    <t xml:space="preserve">书桌+书架一体</t>
  </si>
  <si>
    <t xml:space="preserve">浅橡木色，1.2米</t>
  </si>
  <si>
    <t xml:space="preserve">吸顶灯</t>
  </si>
  <si>
    <t xml:space="preserve">次卧C（卧室C）</t>
  </si>
  <si>
    <t xml:space="preserve">1.5米实木单人床</t>
  </si>
  <si>
    <t xml:space="preserve">次卧C</t>
  </si>
  <si>
    <t xml:space="preserve">通顶衣柜</t>
  </si>
  <si>
    <t xml:space="preserve">两个卫生间</t>
  </si>
  <si>
    <t xml:space="preserve">浴室柜套装</t>
  </si>
  <si>
    <t xml:space="preserve">悬空原木款，80cm</t>
  </si>
  <si>
    <t xml:space="preserve">含镜柜、安装</t>
  </si>
  <si>
    <t xml:space="preserve">智能马桶</t>
  </si>
  <si>
    <t xml:space="preserve">海尔</t>
  </si>
  <si>
    <t xml:space="preserve">恒温花洒套装</t>
  </si>
  <si>
    <t xml:space="preserve">箭牌</t>
  </si>
  <si>
    <t xml:space="preserve">卫浴五金</t>
  </si>
  <si>
    <t xml:space="preserve">毛巾架、置物架</t>
  </si>
  <si>
    <t xml:space="preserve">全屋</t>
  </si>
  <si>
    <t xml:space="preserve">装饰画+绿植</t>
  </si>
  <si>
    <t xml:space="preserve">客厅、卧室装饰画，大型绿植</t>
  </si>
  <si>
    <t xml:space="preserve">清洁用品套装</t>
  </si>
  <si>
    <t xml:space="preserve">吸尘器、扫地机器人、清洁工具</t>
  </si>
  <si>
    <t xml:space="preserve">36</t>
  </si>
  <si>
    <t xml:space="preserve">客厅空调</t>
  </si>
  <si>
    <t xml:space="preserve">美的1.5匹挂机</t>
  </si>
  <si>
    <t xml:space="preserve">¥2,800.00</t>
  </si>
  <si>
    <t xml:space="preserve">37</t>
  </si>
  <si>
    <t xml:space="preserve">卧室空调</t>
  </si>
  <si>
    <t xml:space="preserve">38</t>
  </si>
  <si>
    <t xml:space="preserve">39</t>
  </si>
  <si>
    <t xml:space="preserve">软装总预算</t>
  </si>
  <si>
    <t xml:space="preserve">万科城市花园105㎡户型装修总预算汇总</t>
  </si>
  <si>
    <t xml:space="preserve">项目类别</t>
  </si>
  <si>
    <t xml:space="preserve">预算金额(元)</t>
  </si>
  <si>
    <t xml:space="preserve">占比</t>
  </si>
  <si>
    <t xml:space="preserve">硬装总预算</t>
  </si>
  <si>
    <t xml:space="preserve">软装总预算</t>
  </si>
  <si>
    <t xml:space="preserve">装修总预算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</si>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</sst>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¥#,##0.00"/>
    <numFmt numFmtId="165" formatCode="¥#,##0.00"/>
    <numFmt numFmtId="166" formatCode="¥#,##0.00"/>
    <numFmt numFmtId="167" formatCode="0.00%"/>
  </numFmts>
  <fonts count="6"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 val="true"/>
      <sz val="14"/>
      <color rgb="FFFFFFFF"/>
      <name val="微软雅黑"/>
      <family val="2"/>
    </font>
    <font>
      <b val="true"/>
      <sz val="11"/>
      <color rgb="FFFFFFFF"/>
      <name val="微软雅黑"/>
      <family val="2"/>
    </font>
    <font>
      <sz val="10"/>
      <color rgb="FF333333"/>
      <name val="微软雅黑"/>
      <family val="2"/>
    </font>
    <font>
      <b val="true"/>
      <sz val="11"/>
      <color rgb="FF000000"/>
      <name val="微软雅黑"/>
      <family val="2"/>
    </font>
  </fonts>
  <fills count="1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D9D9D9"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D9D9D9"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2" numFmtId="0" xfId="0">
      <alignment horizontal="center" vertical="center"/>
    </xf>
    <xf applyAlignment="true" applyBorder="false" applyFill="true" applyFont="true" applyNumberFormat="false" applyProtection="false" borderId="0" fillId="3" fontId="3" numFmtId="0" xfId="0">
      <alignment horizontal="center" vertical="center"/>
    </xf>
    <xf applyAlignment="true" applyBorder="false" applyFill="true" applyFont="true" applyNumberFormat="false" applyProtection="false" borderId="1" fillId="4" fontId="4" numFmtId="0" xfId="0">
      <alignment horizontal="center" vertical="center"/>
    </xf>
    <xf applyAlignment="true" applyBorder="false" applyFill="true" applyFont="true" applyNumberFormat="false" applyProtection="false" borderId="1" fillId="4" fontId="4" numFmtId="0" xfId="0">
      <alignment horizontal="left" vertical="center"/>
    </xf>
    <xf applyAlignment="true" applyBorder="false" applyFill="true" applyFont="true" applyNumberFormat="true" applyProtection="false" borderId="1" fillId="4" fontId="4" numFmtId="164" xfId="0">
      <alignment horizontal="right" vertical="center"/>
    </xf>
    <xf applyAlignment="true" applyBorder="false" applyFill="false" applyFont="true" applyNumberFormat="false" applyProtection="false" borderId="1" fillId="0" fontId="4" numFmtId="0" xfId="0">
      <alignment horizontal="center" vertical="center"/>
    </xf>
    <xf applyAlignment="true" applyBorder="false" applyFill="false" applyFont="true" applyNumberFormat="false" applyProtection="false" borderId="1" fillId="0" fontId="4" numFmtId="0" xfId="0">
      <alignment horizontal="left" vertical="center"/>
    </xf>
    <xf applyAlignment="true" applyBorder="false" applyFill="false" applyFont="true" applyNumberFormat="true" applyProtection="false" borderId="1" fillId="0" fontId="4" numFmtId="164" xfId="0">
      <alignment horizontal="right" vertical="center"/>
    </xf>
    <xf applyAlignment="true" applyBorder="false" applyFill="true" applyFont="true" applyNumberFormat="false" applyProtection="false" borderId="0" fillId="5" fontId="5" numFmtId="0" xfId="0">
      <alignment horizontal="center" vertical="center"/>
    </xf>
    <xf applyAlignment="true" applyBorder="false" applyFill="true" applyFont="true" applyNumberFormat="true" applyProtection="false" borderId="0" fillId="5" fontId="5" numFmtId="164" xfId="0">
      <alignment horizontal="right" vertical="center"/>
    </xf>
    <xf applyAlignment="true" applyBorder="false" applyFill="true" applyFont="true" applyNumberFormat="false" applyProtection="false" borderId="0" fillId="6" fontId="2" numFmtId="0" xfId="0">
      <alignment horizontal="center" vertical="center"/>
    </xf>
    <xf applyAlignment="true" applyBorder="false" applyFill="true" applyFont="true" applyNumberFormat="false" applyProtection="false" borderId="0" fillId="7" fontId="3" numFmtId="0" xfId="0">
      <alignment horizontal="center" vertical="center"/>
    </xf>
    <xf applyAlignment="true" applyBorder="false" applyFill="true" applyFont="true" applyNumberFormat="false" applyProtection="false" borderId="2" fillId="8" fontId="4" numFmtId="0" xfId="0">
      <alignment horizontal="center" vertical="center"/>
    </xf>
    <xf applyAlignment="true" applyBorder="false" applyFill="true" applyFont="true" applyNumberFormat="false" applyProtection="false" borderId="2" fillId="8" fontId="4" numFmtId="0" xfId="0">
      <alignment horizontal="left" vertical="center"/>
    </xf>
    <xf applyAlignment="true" applyBorder="false" applyFill="true" applyFont="true" applyNumberFormat="true" applyProtection="false" borderId="2" fillId="8" fontId="4" numFmtId="165" xfId="0">
      <alignment horizontal="right" vertical="center"/>
    </xf>
    <xf applyAlignment="true" applyBorder="false" applyFill="false" applyFont="true" applyNumberFormat="false" applyProtection="false" borderId="2" fillId="0" fontId="4" numFmtId="0" xfId="0">
      <alignment horizontal="center" vertical="center"/>
    </xf>
    <xf applyAlignment="true" applyBorder="false" applyFill="false" applyFont="true" applyNumberFormat="false" applyProtection="false" borderId="2" fillId="0" fontId="4" numFmtId="0" xfId="0">
      <alignment horizontal="left" vertical="center"/>
    </xf>
    <xf applyAlignment="true" applyBorder="false" applyFill="false" applyFont="true" applyNumberFormat="true" applyProtection="false" borderId="2" fillId="0" fontId="4" numFmtId="165" xfId="0">
      <alignment horizontal="right" vertical="center"/>
    </xf>
    <xf applyAlignment="true" applyBorder="false" applyFill="true" applyFont="true" applyNumberFormat="false" applyProtection="false" borderId="2" fillId="8" fontId="4" numFmtId="0" xfId="0">
      <alignment horizontal="center" vertical="center"/>
    </xf>
    <xf applyAlignment="true" applyBorder="false" applyFill="true" applyFont="true" applyNumberFormat="false" applyProtection="false" borderId="2" fillId="8" fontId="4" numFmtId="0" xfId="0">
      <alignment horizontal="left" vertical="center"/>
    </xf>
    <xf applyAlignment="true" applyBorder="false" applyFill="true" applyFont="true" applyNumberFormat="true" applyProtection="false" borderId="2" fillId="8" fontId="4" numFmtId="165" xfId="0">
      <alignment horizontal="right" vertical="center"/>
    </xf>
    <xf applyAlignment="true" applyBorder="false" applyFill="true" applyFont="true" applyNumberFormat="false" applyProtection="false" borderId="0" fillId="9" fontId="5" numFmtId="0" xfId="0">
      <alignment horizontal="center" vertical="center"/>
    </xf>
    <xf applyAlignment="true" applyBorder="false" applyFill="true" applyFont="true" applyNumberFormat="true" applyProtection="false" borderId="0" fillId="9" fontId="5" numFmtId="165" xfId="0">
      <alignment horizontal="right" vertical="center"/>
    </xf>
    <xf applyAlignment="true" applyBorder="false" applyFill="true" applyFont="true" applyNumberFormat="false" applyProtection="false" borderId="0" fillId="10" fontId="2" numFmtId="0" xfId="0">
      <alignment horizontal="center" vertical="center"/>
    </xf>
    <xf applyAlignment="true" applyBorder="false" applyFill="true" applyFont="true" applyNumberFormat="false" applyProtection="false" borderId="0" fillId="11" fontId="3" numFmtId="0" xfId="0">
      <alignment horizontal="center" vertical="center"/>
    </xf>
    <xf applyAlignment="true" applyBorder="false" applyFill="true" applyFont="true" applyNumberFormat="false" applyProtection="false" borderId="3" fillId="12" fontId="4" numFmtId="0" xfId="0">
      <alignment horizontal="left" vertical="center"/>
    </xf>
    <xf applyAlignment="true" applyBorder="false" applyFill="true" applyFont="true" applyNumberFormat="true" applyProtection="false" borderId="3" fillId="12" fontId="4" numFmtId="166" xfId="0">
      <alignment horizontal="right" vertical="center"/>
    </xf>
    <xf applyAlignment="true" applyBorder="false" applyFill="true" applyFont="true" applyNumberFormat="true" applyProtection="false" borderId="3" fillId="12" fontId="4" numFmtId="167" xfId="0">
      <alignment horizontal="center" vertical="center"/>
    </xf>
    <xf applyAlignment="true" applyBorder="false" applyFill="false" applyFont="true" applyNumberFormat="false" applyProtection="false" borderId="3" fillId="0" fontId="4" numFmtId="0" xfId="0">
      <alignment horizontal="left" vertical="center"/>
    </xf>
    <xf applyAlignment="true" applyBorder="false" applyFill="false" applyFont="true" applyNumberFormat="true" applyProtection="false" borderId="3" fillId="0" fontId="4" numFmtId="166" xfId="0">
      <alignment horizontal="right" vertical="center"/>
    </xf>
    <xf applyAlignment="true" applyBorder="false" applyFill="false" applyFont="true" applyNumberFormat="true" applyProtection="false" borderId="3" fillId="0" fontId="4" numFmtId="167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2" min="2" style="0" width="20"/>
    <col collapsed="false" customWidth="true" hidden="false" max="4" min="4" style="0" width="30"/>
    <col collapsed="false" customWidth="true" hidden="false" max="6" min="6" style="0" width="9"/>
    <col collapsed="false" customWidth="true" hidden="false" max="8" min="8" style="0" width="17"/>
    <col collapsed="false" customWidth="true" hidden="false" max="1" min="1" style="0" width="40"/>
    <col collapsed="false" customWidth="true" hidden="false" max="3" min="3" style="0" width="21"/>
    <col collapsed="false" customWidth="true" hidden="false" max="5" min="5" style="0" width="9"/>
    <col collapsed="false" customWidth="true" hidden="false" max="7" min="7" style="0" width="12"/>
    <col collapsed="false" customWidth="true" hidden="false" max="9" min="9" style="0" width="21"/>
  </cols>
  <sheetData>
    <row customHeight="true" ht="38" r="1">
      <c r="A1" s="1" t="s">
        <v>1</v>
      </c>
    </row>
    <row customHeight="true" ht="29"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customHeight="true" ht="22" r="3">
      <c r="A3" s="3">
        <v>1</v>
      </c>
      <c r="B3" s="4" t="s">
        <v>11</v>
      </c>
      <c r="C3" s="4" t="s">
        <v>12</v>
      </c>
      <c r="D3" s="4" t="s">
        <v>13</v>
      </c>
      <c r="E3" s="3" t="s">
        <v>14</v>
      </c>
      <c r="F3" s="3">
        <v>1</v>
      </c>
      <c r="G3" s="5">
        <v>3000</v>
      </c>
      <c r="H3" s="5">
        <v>3000</v>
      </c>
      <c r="I3" s="4" t="s">
        <v>15</v>
      </c>
    </row>
    <row customHeight="true" ht="22" r="4">
      <c r="A4" s="6">
        <v>2</v>
      </c>
      <c r="B4" s="7" t="s">
        <v>11</v>
      </c>
      <c r="C4" s="7" t="s">
        <v>16</v>
      </c>
      <c r="D4" s="7" t="s">
        <v>17</v>
      </c>
      <c r="E4" s="6" t="s">
        <v>18</v>
      </c>
      <c r="F4" s="6">
        <v>6</v>
      </c>
      <c r="G4" s="8">
        <v>250</v>
      </c>
      <c r="H4" s="8">
        <v>1500</v>
      </c>
      <c r="I4" s="7" t="s">
        <v>19</v>
      </c>
    </row>
    <row customHeight="true" ht="22" r="5">
      <c r="A5" s="3">
        <v>3</v>
      </c>
      <c r="B5" s="4" t="s">
        <v>11</v>
      </c>
      <c r="C5" s="4" t="s">
        <v>20</v>
      </c>
      <c r="D5" s="4" t="s">
        <v>21</v>
      </c>
      <c r="E5" s="3" t="s">
        <v>22</v>
      </c>
      <c r="F5" s="3">
        <v>3.6</v>
      </c>
      <c r="G5" s="5">
        <v>1200</v>
      </c>
      <c r="H5" s="5">
        <v>4320</v>
      </c>
      <c r="I5" s="4" t="s">
        <v>23</v>
      </c>
    </row>
    <row customHeight="true" ht="22" r="6">
      <c r="A6" s="6">
        <v>4</v>
      </c>
      <c r="B6" s="7" t="s">
        <v>11</v>
      </c>
      <c r="C6" s="7" t="s">
        <v>24</v>
      </c>
      <c r="D6" s="7" t="s">
        <v>25</v>
      </c>
      <c r="E6" s="6" t="s">
        <v>26</v>
      </c>
      <c r="F6" s="6">
        <v>1</v>
      </c>
      <c r="G6" s="8">
        <v>2500</v>
      </c>
      <c r="H6" s="8">
        <v>2500</v>
      </c>
      <c r="I6" s="7" t="s">
        <v>27</v>
      </c>
    </row>
    <row customHeight="true" ht="22" r="7">
      <c r="A7" s="3">
        <v>5</v>
      </c>
      <c r="B7" s="4" t="s">
        <v>11</v>
      </c>
      <c r="C7" s="4" t="s">
        <v>28</v>
      </c>
      <c r="D7" s="4" t="s">
        <v>29</v>
      </c>
      <c r="E7" s="3" t="s">
        <v>18</v>
      </c>
      <c r="F7" s="3">
        <v>6</v>
      </c>
      <c r="G7" s="5">
        <v>150</v>
      </c>
      <c r="H7" s="5">
        <v>900</v>
      </c>
      <c r="I7" s="4" t="s">
        <v>30</v>
      </c>
    </row>
    <row customHeight="true" ht="22" r="8">
      <c r="A8" s="6">
        <v>6</v>
      </c>
      <c r="B8" s="7" t="s">
        <v>11</v>
      </c>
      <c r="C8" s="7" t="s">
        <v>31</v>
      </c>
      <c r="D8" s="7" t="s">
        <v>32</v>
      </c>
      <c r="E8" s="6" t="s">
        <v>18</v>
      </c>
      <c r="F8" s="6">
        <v>6</v>
      </c>
      <c r="G8" s="8">
        <v>120</v>
      </c>
      <c r="H8" s="8">
        <v>720</v>
      </c>
      <c r="I8" s="7" t="s">
        <v>33</v>
      </c>
    </row>
    <row customHeight="true" ht="22" r="9">
      <c r="A9" s="3">
        <v>7</v>
      </c>
      <c r="B9" s="4" t="s">
        <v>34</v>
      </c>
      <c r="C9" s="4" t="s">
        <v>35</v>
      </c>
      <c r="D9" s="4" t="s">
        <v>36</v>
      </c>
      <c r="E9" s="3" t="s">
        <v>22</v>
      </c>
      <c r="F9" s="3">
        <v>2.4</v>
      </c>
      <c r="G9" s="5">
        <v>1750</v>
      </c>
      <c r="H9" s="5">
        <v>4200</v>
      </c>
      <c r="I9" s="4" t="s">
        <v>37</v>
      </c>
    </row>
    <row customHeight="true" ht="22" r="10">
      <c r="A10" s="6">
        <v>8</v>
      </c>
      <c r="B10" s="7" t="s">
        <v>34</v>
      </c>
      <c r="C10" s="7" t="s">
        <v>38</v>
      </c>
      <c r="D10" s="7" t="s">
        <v>39</v>
      </c>
      <c r="E10" s="6" t="s">
        <v>14</v>
      </c>
      <c r="F10" s="6">
        <v>1</v>
      </c>
      <c r="G10" s="8">
        <v>2300</v>
      </c>
      <c r="H10" s="8">
        <v>2300</v>
      </c>
      <c r="I10" s="7" t="s">
        <v>40</v>
      </c>
    </row>
    <row customHeight="true" ht="22" r="11">
      <c r="A11" s="3">
        <v>9</v>
      </c>
      <c r="B11" s="4" t="s">
        <v>34</v>
      </c>
      <c r="C11" s="4" t="s">
        <v>41</v>
      </c>
      <c r="D11" s="4" t="s">
        <v>17</v>
      </c>
      <c r="E11" s="3" t="s">
        <v>18</v>
      </c>
      <c r="F11" s="3">
        <v>5.3</v>
      </c>
      <c r="G11" s="5">
        <v>200</v>
      </c>
      <c r="H11" s="5">
        <v>1060</v>
      </c>
      <c r="I11" s="4" t="s">
        <v>19</v>
      </c>
    </row>
    <row customHeight="true" ht="22" r="12">
      <c r="A12" s="6">
        <v>10</v>
      </c>
      <c r="B12" s="7" t="s">
        <v>34</v>
      </c>
      <c r="C12" s="7" t="s">
        <v>28</v>
      </c>
      <c r="D12" s="7" t="s">
        <v>29</v>
      </c>
      <c r="E12" s="6" t="s">
        <v>18</v>
      </c>
      <c r="F12" s="6">
        <v>5.3</v>
      </c>
      <c r="G12" s="8">
        <v>150</v>
      </c>
      <c r="H12" s="8">
        <v>795</v>
      </c>
      <c r="I12" s="7" t="s">
        <v>30</v>
      </c>
    </row>
    <row customHeight="true" ht="22" r="13">
      <c r="A13" s="3">
        <v>11</v>
      </c>
      <c r="B13" s="4" t="s">
        <v>34</v>
      </c>
      <c r="C13" s="4" t="s">
        <v>31</v>
      </c>
      <c r="D13" s="4" t="s">
        <v>32</v>
      </c>
      <c r="E13" s="3" t="s">
        <v>18</v>
      </c>
      <c r="F13" s="3">
        <v>5.3</v>
      </c>
      <c r="G13" s="5">
        <v>120</v>
      </c>
      <c r="H13" s="5">
        <v>636</v>
      </c>
      <c r="I13" s="4" t="s">
        <v>33</v>
      </c>
    </row>
    <row customHeight="true" ht="22" r="14">
      <c r="A14" s="6">
        <v>12</v>
      </c>
      <c r="B14" s="7" t="s">
        <v>42</v>
      </c>
      <c r="C14" s="7" t="s">
        <v>43</v>
      </c>
      <c r="D14" s="7" t="s">
        <v>44</v>
      </c>
      <c r="E14" s="6" t="s">
        <v>26</v>
      </c>
      <c r="F14" s="6">
        <v>1</v>
      </c>
      <c r="G14" s="8">
        <v>3500</v>
      </c>
      <c r="H14" s="8">
        <v>3500</v>
      </c>
      <c r="I14" s="7" t="s">
        <v>27</v>
      </c>
    </row>
    <row customHeight="true" ht="22" r="15">
      <c r="A15" s="3">
        <v>13</v>
      </c>
      <c r="B15" s="4" t="s">
        <v>45</v>
      </c>
      <c r="C15" s="4" t="s">
        <v>46</v>
      </c>
      <c r="D15" s="4" t="s">
        <v>47</v>
      </c>
      <c r="E15" s="3" t="s">
        <v>26</v>
      </c>
      <c r="F15" s="3">
        <v>1</v>
      </c>
      <c r="G15" s="5">
        <v>8600</v>
      </c>
      <c r="H15" s="5">
        <v>8600</v>
      </c>
      <c r="I15" s="4" t="s">
        <v>19</v>
      </c>
    </row>
    <row customHeight="true" ht="22" r="16">
      <c r="A16" s="6">
        <v>14</v>
      </c>
      <c r="B16" s="7" t="s">
        <v>48</v>
      </c>
      <c r="C16" s="7" t="s">
        <v>46</v>
      </c>
      <c r="D16" s="7" t="s">
        <v>47</v>
      </c>
      <c r="E16" s="6" t="s">
        <v>26</v>
      </c>
      <c r="F16" s="6">
        <v>1</v>
      </c>
      <c r="G16" s="8">
        <v>8600</v>
      </c>
      <c r="H16" s="8">
        <v>8600</v>
      </c>
      <c r="I16" s="7" t="s">
        <v>19</v>
      </c>
    </row>
    <row customHeight="true" ht="22" r="17">
      <c r="A17" s="3">
        <v>15</v>
      </c>
      <c r="B17" s="4" t="s">
        <v>49</v>
      </c>
      <c r="C17" s="4" t="s">
        <v>41</v>
      </c>
      <c r="D17" s="4" t="s">
        <v>17</v>
      </c>
      <c r="E17" s="3" t="s">
        <v>18</v>
      </c>
      <c r="F17" s="3">
        <v>12</v>
      </c>
      <c r="G17" s="5">
        <v>250</v>
      </c>
      <c r="H17" s="5">
        <v>3000</v>
      </c>
      <c r="I17" s="4" t="s">
        <v>19</v>
      </c>
    </row>
    <row customHeight="true" ht="22" r="18">
      <c r="A18" s="6">
        <v>16</v>
      </c>
      <c r="B18" s="7" t="s">
        <v>49</v>
      </c>
      <c r="C18" s="7" t="s">
        <v>31</v>
      </c>
      <c r="D18" s="7" t="s">
        <v>32</v>
      </c>
      <c r="E18" s="6" t="s">
        <v>18</v>
      </c>
      <c r="F18" s="6">
        <v>12</v>
      </c>
      <c r="G18" s="8">
        <v>120</v>
      </c>
      <c r="H18" s="8">
        <v>1440</v>
      </c>
      <c r="I18" s="7" t="s">
        <v>33</v>
      </c>
    </row>
    <row customHeight="true" ht="22" r="19">
      <c r="A19" s="3">
        <v>17</v>
      </c>
      <c r="B19" s="4" t="s">
        <v>49</v>
      </c>
      <c r="C19" s="4" t="s">
        <v>50</v>
      </c>
      <c r="D19" s="4" t="s">
        <v>51</v>
      </c>
      <c r="E19" s="3" t="s">
        <v>14</v>
      </c>
      <c r="F19" s="3">
        <v>2</v>
      </c>
      <c r="G19" s="5">
        <v>1200</v>
      </c>
      <c r="H19" s="5">
        <v>2400</v>
      </c>
      <c r="I19" s="4" t="s">
        <v>40</v>
      </c>
    </row>
    <row customHeight="true" ht="22" r="20">
      <c r="A20" s="6">
        <v>18</v>
      </c>
      <c r="B20" s="7" t="s">
        <v>52</v>
      </c>
      <c r="C20" s="7" t="s">
        <v>53</v>
      </c>
      <c r="D20" s="7" t="s">
        <v>54</v>
      </c>
      <c r="E20" s="6" t="s">
        <v>18</v>
      </c>
      <c r="F20" s="6">
        <v>38.2</v>
      </c>
      <c r="G20" s="8">
        <v>180</v>
      </c>
      <c r="H20" s="8">
        <v>6876</v>
      </c>
      <c r="I20" s="7" t="s">
        <v>19</v>
      </c>
    </row>
    <row customHeight="true" ht="22" r="21">
      <c r="A21" s="3">
        <v>19</v>
      </c>
      <c r="B21" s="4" t="s">
        <v>52</v>
      </c>
      <c r="C21" s="4" t="s">
        <v>55</v>
      </c>
      <c r="D21" s="4" t="s">
        <v>56</v>
      </c>
      <c r="E21" s="3" t="s">
        <v>18</v>
      </c>
      <c r="F21" s="3">
        <v>15</v>
      </c>
      <c r="G21" s="5">
        <v>1200</v>
      </c>
      <c r="H21" s="5">
        <v>18000</v>
      </c>
      <c r="I21" s="4" t="s">
        <v>23</v>
      </c>
    </row>
    <row customHeight="true" ht="22" r="22">
      <c r="A22" s="6">
        <v>20</v>
      </c>
      <c r="B22" s="7" t="s">
        <v>52</v>
      </c>
      <c r="C22" s="7" t="s">
        <v>57</v>
      </c>
      <c r="D22" s="7" t="s">
        <v>58</v>
      </c>
      <c r="E22" s="6" t="s">
        <v>14</v>
      </c>
      <c r="F22" s="6">
        <v>3</v>
      </c>
      <c r="G22" s="8">
        <v>1500</v>
      </c>
      <c r="H22" s="8">
        <v>4500</v>
      </c>
      <c r="I22" s="7" t="s">
        <v>40</v>
      </c>
    </row>
    <row customHeight="true" ht="22" r="23">
      <c r="A23" s="3">
        <v>21</v>
      </c>
      <c r="B23" s="4" t="s">
        <v>52</v>
      </c>
      <c r="C23" s="4" t="s">
        <v>59</v>
      </c>
      <c r="D23" s="4" t="s">
        <v>60</v>
      </c>
      <c r="E23" s="3" t="s">
        <v>26</v>
      </c>
      <c r="F23" s="3">
        <v>3</v>
      </c>
      <c r="G23" s="5">
        <v>1200</v>
      </c>
      <c r="H23" s="5">
        <v>3600</v>
      </c>
      <c r="I23" s="4" t="s">
        <v>27</v>
      </c>
    </row>
    <row customHeight="true" ht="22" r="24">
      <c r="A24" s="6">
        <v>22</v>
      </c>
      <c r="B24" s="7" t="s">
        <v>61</v>
      </c>
      <c r="C24" s="7" t="s">
        <v>62</v>
      </c>
      <c r="D24" s="7" t="s">
        <v>63</v>
      </c>
      <c r="E24" s="6" t="s">
        <v>64</v>
      </c>
      <c r="F24" s="6">
        <v>50</v>
      </c>
      <c r="G24" s="8">
        <v>38</v>
      </c>
      <c r="H24" s="8">
        <v>1900</v>
      </c>
      <c r="I24" s="7" t="s">
        <v>15</v>
      </c>
    </row>
    <row customHeight="true" ht="22" r="25">
      <c r="A25" s="3">
        <v>23</v>
      </c>
      <c r="B25" s="4" t="s">
        <v>61</v>
      </c>
      <c r="C25" s="4" t="s">
        <v>65</v>
      </c>
      <c r="D25" s="4" t="s">
        <v>66</v>
      </c>
      <c r="E25" s="3" t="s">
        <v>18</v>
      </c>
      <c r="F25" s="3">
        <v>120</v>
      </c>
      <c r="G25" s="5">
        <v>35</v>
      </c>
      <c r="H25" s="5">
        <v>4200</v>
      </c>
      <c r="I25" s="4" t="s">
        <v>27</v>
      </c>
    </row>
    <row customHeight="true" ht="22" r="26">
      <c r="A26" s="6">
        <v>24</v>
      </c>
      <c r="B26" s="7" t="s">
        <v>61</v>
      </c>
      <c r="C26" s="7" t="s">
        <v>67</v>
      </c>
      <c r="D26" s="7" t="s">
        <v>60</v>
      </c>
      <c r="E26" s="6" t="s">
        <v>26</v>
      </c>
      <c r="F26" s="6">
        <v>1</v>
      </c>
      <c r="G26" s="8">
        <v>4500</v>
      </c>
      <c r="H26" s="8">
        <v>4500</v>
      </c>
      <c r="I26" s="7" t="s">
        <v>27</v>
      </c>
    </row>
    <row customHeight="true" ht="22" r="27">
      <c r="A27" s="3">
        <v>25</v>
      </c>
      <c r="B27" s="4" t="s">
        <v>61</v>
      </c>
      <c r="C27" s="4" t="s">
        <v>68</v>
      </c>
      <c r="D27" s="4" t="s">
        <v>69</v>
      </c>
      <c r="E27" s="3" t="s">
        <v>26</v>
      </c>
      <c r="F27" s="3">
        <v>1</v>
      </c>
      <c r="G27" s="5">
        <v>1330</v>
      </c>
      <c r="H27" s="5">
        <v>1330</v>
      </c>
      <c r="I27" s="4" t="s">
        <v>70</v>
      </c>
    </row>
    <row customHeight="true" ht="22" r="28">
      <c r="A28" s="6">
        <v>26</v>
      </c>
      <c r="B28" s="7" t="s">
        <v>61</v>
      </c>
      <c r="C28" s="7" t="s">
        <v>71</v>
      </c>
      <c r="D28" s="7"/>
      <c r="E28" s="6" t="s">
        <v>26</v>
      </c>
      <c r="F28" s="6">
        <v>1</v>
      </c>
      <c r="G28" s="8">
        <v>3000</v>
      </c>
      <c r="H28" s="8">
        <v>3000</v>
      </c>
      <c r="I28" s="7" t="s">
        <v>72</v>
      </c>
    </row>
    <row customHeight="true" ht="22" r="29">
      <c r="A29" s="3">
        <v>27</v>
      </c>
      <c r="B29" s="4" t="s">
        <v>61</v>
      </c>
      <c r="C29" s="4" t="s">
        <v>73</v>
      </c>
      <c r="D29" s="4"/>
      <c r="E29" s="3" t="s">
        <v>26</v>
      </c>
      <c r="F29" s="3">
        <v>1</v>
      </c>
      <c r="G29" s="5">
        <v>5000</v>
      </c>
      <c r="H29" s="5">
        <v>5000</v>
      </c>
      <c r="I29" s="4" t="s">
        <v>74</v>
      </c>
    </row>
    <row customHeight="true" ht="29" r="30">
      <c r="A30" s="9" t="s">
        <v>75</v>
      </c>
      <c r="H30" s="10">
        <f>SUM(H3:H29)</f>
      </c>
    </row>
  </sheetData>
  <mergeCells>
    <mergeCell ref="A1:I1"/>
    <mergeCell ref="A30:G30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40"/>
    <col collapsed="false" customWidth="true" hidden="false" max="2" min="2" style="0" width="19"/>
    <col collapsed="false" customWidth="true" hidden="false" max="3" min="3" style="0" width="20"/>
    <col collapsed="false" customWidth="true" hidden="false" max="6" min="6" style="0" width="9"/>
    <col collapsed="false" customWidth="true" hidden="false" max="8" min="8" style="0" width="17"/>
    <col collapsed="false" customWidth="true" hidden="false" max="9" min="9" style="0" width="25"/>
    <col collapsed="false" customWidth="true" hidden="false" max="4" min="4" style="0" width="34"/>
    <col collapsed="false" customWidth="true" hidden="false" max="5" min="5" style="0" width="9"/>
    <col collapsed="false" customWidth="true" hidden="false" max="7" min="7" style="0" width="12"/>
  </cols>
  <sheetData>
    <row customHeight="true" ht="38" r="1">
      <c r="A1" s="11" t="s">
        <v>76</v>
      </c>
    </row>
    <row customHeight="true" ht="29" r="2">
      <c r="A2" s="12" t="s">
        <v>77</v>
      </c>
      <c r="B2" s="12" t="s">
        <v>78</v>
      </c>
      <c r="C2" s="12" t="s">
        <v>79</v>
      </c>
      <c r="D2" s="12" t="s">
        <v>80</v>
      </c>
      <c r="E2" s="12" t="s">
        <v>81</v>
      </c>
      <c r="F2" s="12" t="s">
        <v>82</v>
      </c>
      <c r="G2" s="12" t="s">
        <v>83</v>
      </c>
      <c r="H2" s="12" t="s">
        <v>84</v>
      </c>
      <c r="I2" s="12" t="s">
        <v>85</v>
      </c>
    </row>
    <row customHeight="true" ht="22" r="3">
      <c r="A3" s="13">
        <v>1</v>
      </c>
      <c r="B3" s="14" t="s">
        <v>86</v>
      </c>
      <c r="C3" s="14" t="s">
        <v>87</v>
      </c>
      <c r="D3" s="14" t="s">
        <v>88</v>
      </c>
      <c r="E3" s="13" t="s">
        <v>89</v>
      </c>
      <c r="F3" s="13">
        <v>1</v>
      </c>
      <c r="G3" s="15">
        <v>3484.88</v>
      </c>
      <c r="H3" s="15">
        <v>3484.88</v>
      </c>
      <c r="I3" s="14" t="s">
        <v>90</v>
      </c>
    </row>
    <row customHeight="true" ht="22" r="4">
      <c r="A4" s="16" t="s">
        <v>91</v>
      </c>
      <c r="B4" s="17" t="s">
        <v>86</v>
      </c>
      <c r="C4" s="17" t="s">
        <v>92</v>
      </c>
      <c r="D4" s="17" t="s">
        <v>93</v>
      </c>
      <c r="E4" s="16" t="s">
        <v>89</v>
      </c>
      <c r="F4" s="16">
        <v>1</v>
      </c>
      <c r="G4" s="18" t="s">
        <v>94</v>
      </c>
      <c r="H4" s="18" t="s">
        <v>94</v>
      </c>
      <c r="I4" s="17" t="s">
        <v>95</v>
      </c>
    </row>
    <row customHeight="true" ht="22" r="5">
      <c r="A5" s="13">
        <v>3</v>
      </c>
      <c r="B5" s="14" t="s">
        <v>86</v>
      </c>
      <c r="C5" s="14" t="s">
        <v>96</v>
      </c>
      <c r="D5" s="14" t="s">
        <v>97</v>
      </c>
      <c r="E5" s="13" t="s">
        <v>89</v>
      </c>
      <c r="F5" s="13">
        <v>1</v>
      </c>
      <c r="G5" s="15">
        <v>1500</v>
      </c>
      <c r="H5" s="15">
        <v>1500</v>
      </c>
      <c r="I5" s="14" t="s">
        <v>90</v>
      </c>
    </row>
    <row customHeight="true" ht="22" r="6">
      <c r="A6" s="16">
        <v>4</v>
      </c>
      <c r="B6" s="17" t="s">
        <v>86</v>
      </c>
      <c r="C6" s="17" t="s">
        <v>98</v>
      </c>
      <c r="D6" s="17" t="s">
        <v>99</v>
      </c>
      <c r="E6" s="16" t="s">
        <v>89</v>
      </c>
      <c r="F6" s="16">
        <v>1</v>
      </c>
      <c r="G6" s="18">
        <v>1272</v>
      </c>
      <c r="H6" s="18">
        <v>1272</v>
      </c>
      <c r="I6" s="17" t="s">
        <v>90</v>
      </c>
    </row>
    <row customHeight="true" ht="22" r="7">
      <c r="A7" s="13">
        <v>5</v>
      </c>
      <c r="B7" s="14" t="s">
        <v>86</v>
      </c>
      <c r="C7" s="14" t="s">
        <v>100</v>
      </c>
      <c r="D7" s="14" t="s">
        <v>101</v>
      </c>
      <c r="E7" s="13" t="s">
        <v>102</v>
      </c>
      <c r="F7" s="13">
        <v>1</v>
      </c>
      <c r="G7" s="15">
        <v>2000</v>
      </c>
      <c r="H7" s="15">
        <v>2000</v>
      </c>
      <c r="I7" s="14" t="s">
        <v>103</v>
      </c>
    </row>
    <row customHeight="true" ht="22" r="8">
      <c r="A8" s="16">
        <v>6</v>
      </c>
      <c r="B8" s="17" t="s">
        <v>104</v>
      </c>
      <c r="C8" s="17" t="s">
        <v>105</v>
      </c>
      <c r="D8" s="17" t="s">
        <v>106</v>
      </c>
      <c r="E8" s="16" t="s">
        <v>107</v>
      </c>
      <c r="F8" s="16">
        <v>1</v>
      </c>
      <c r="G8" s="18">
        <v>1079</v>
      </c>
      <c r="H8" s="18">
        <v>1079</v>
      </c>
      <c r="I8" s="17" t="s">
        <v>108</v>
      </c>
    </row>
    <row customHeight="true" ht="22" r="9">
      <c r="A9" s="13">
        <v>7</v>
      </c>
      <c r="B9" s="14" t="s">
        <v>104</v>
      </c>
      <c r="C9" s="14" t="s">
        <v>109</v>
      </c>
      <c r="D9" s="14" t="s">
        <v>110</v>
      </c>
      <c r="E9" s="13" t="s">
        <v>111</v>
      </c>
      <c r="F9" s="13">
        <v>1</v>
      </c>
      <c r="G9" s="15">
        <v>1396</v>
      </c>
      <c r="H9" s="15">
        <v>1396</v>
      </c>
      <c r="I9" s="14" t="s">
        <v>108</v>
      </c>
    </row>
    <row customHeight="true" ht="22" r="10">
      <c r="A10" s="16">
        <v>8</v>
      </c>
      <c r="B10" s="17" t="s">
        <v>104</v>
      </c>
      <c r="C10" s="17" t="s">
        <v>112</v>
      </c>
      <c r="D10" s="17" t="s">
        <v>113</v>
      </c>
      <c r="E10" s="16" t="s">
        <v>114</v>
      </c>
      <c r="F10" s="16">
        <v>4</v>
      </c>
      <c r="G10" s="18">
        <v>350</v>
      </c>
      <c r="H10" s="18">
        <v>1400</v>
      </c>
      <c r="I10" s="17" t="s">
        <v>108</v>
      </c>
    </row>
    <row customHeight="true" ht="22" r="11">
      <c r="A11" s="13">
        <v>9</v>
      </c>
      <c r="B11" s="14" t="s">
        <v>104</v>
      </c>
      <c r="C11" s="14" t="s">
        <v>115</v>
      </c>
      <c r="D11" s="14" t="s">
        <v>116</v>
      </c>
      <c r="E11" s="13" t="s">
        <v>107</v>
      </c>
      <c r="F11" s="13">
        <v>1</v>
      </c>
      <c r="G11" s="15">
        <v>200</v>
      </c>
      <c r="H11" s="15">
        <v>200</v>
      </c>
      <c r="I11" s="14" t="s">
        <v>108</v>
      </c>
    </row>
    <row customHeight="true" ht="22" r="12">
      <c r="A12" s="16">
        <v>10</v>
      </c>
      <c r="B12" s="17" t="s">
        <v>104</v>
      </c>
      <c r="C12" s="17" t="s">
        <v>117</v>
      </c>
      <c r="D12" s="17" t="s">
        <v>118</v>
      </c>
      <c r="E12" s="16" t="s">
        <v>107</v>
      </c>
      <c r="F12" s="16">
        <v>1</v>
      </c>
      <c r="G12" s="18">
        <v>2500</v>
      </c>
      <c r="H12" s="18">
        <v>2500</v>
      </c>
      <c r="I12" s="17" t="s">
        <v>119</v>
      </c>
    </row>
    <row customHeight="true" ht="22" r="13">
      <c r="A13" s="13">
        <v>11</v>
      </c>
      <c r="B13" s="14" t="s">
        <v>120</v>
      </c>
      <c r="C13" s="14" t="s">
        <v>121</v>
      </c>
      <c r="D13" s="14" t="s">
        <v>122</v>
      </c>
      <c r="E13" s="13" t="s">
        <v>89</v>
      </c>
      <c r="F13" s="13">
        <v>1</v>
      </c>
      <c r="G13" s="15">
        <v>3803</v>
      </c>
      <c r="H13" s="15">
        <v>3803</v>
      </c>
      <c r="I13" s="14" t="s">
        <v>123</v>
      </c>
    </row>
    <row customHeight="true" ht="22" r="14">
      <c r="A14" s="16">
        <v>12</v>
      </c>
      <c r="B14" s="17" t="s">
        <v>120</v>
      </c>
      <c r="C14" s="17" t="s">
        <v>124</v>
      </c>
      <c r="D14" s="17" t="s">
        <v>125</v>
      </c>
      <c r="E14" s="16" t="s">
        <v>102</v>
      </c>
      <c r="F14" s="16">
        <v>1</v>
      </c>
      <c r="G14" s="18">
        <v>2385</v>
      </c>
      <c r="H14" s="18">
        <v>2385</v>
      </c>
      <c r="I14" s="17" t="s">
        <v>108</v>
      </c>
    </row>
    <row customHeight="true" ht="22" r="15">
      <c r="A15" s="13">
        <v>13</v>
      </c>
      <c r="B15" s="14" t="s">
        <v>120</v>
      </c>
      <c r="C15" s="14" t="s">
        <v>126</v>
      </c>
      <c r="D15" s="14" t="s">
        <v>127</v>
      </c>
      <c r="E15" s="13" t="s">
        <v>107</v>
      </c>
      <c r="F15" s="13">
        <v>1</v>
      </c>
      <c r="G15" s="15">
        <v>800</v>
      </c>
      <c r="H15" s="15">
        <v>800</v>
      </c>
      <c r="I15" s="14" t="s">
        <v>108</v>
      </c>
    </row>
    <row customHeight="true" ht="22" r="16">
      <c r="A16" s="16">
        <v>14</v>
      </c>
      <c r="B16" s="17" t="s">
        <v>120</v>
      </c>
      <c r="C16" s="17" t="s">
        <v>128</v>
      </c>
      <c r="D16" s="17" t="s">
        <v>129</v>
      </c>
      <c r="E16" s="16" t="s">
        <v>107</v>
      </c>
      <c r="F16" s="16">
        <v>1</v>
      </c>
      <c r="G16" s="18">
        <v>1200</v>
      </c>
      <c r="H16" s="18">
        <v>1200</v>
      </c>
      <c r="I16" s="17" t="s">
        <v>119</v>
      </c>
    </row>
    <row customHeight="true" ht="22" r="17">
      <c r="A17" s="13">
        <v>15</v>
      </c>
      <c r="B17" s="14" t="s">
        <v>120</v>
      </c>
      <c r="C17" s="14" t="s">
        <v>130</v>
      </c>
      <c r="D17" s="14" t="s">
        <v>131</v>
      </c>
      <c r="E17" s="13" t="s">
        <v>102</v>
      </c>
      <c r="F17" s="13">
        <v>1</v>
      </c>
      <c r="G17" s="15">
        <v>1500</v>
      </c>
      <c r="H17" s="15">
        <v>1500</v>
      </c>
      <c r="I17" s="14" t="s">
        <v>132</v>
      </c>
    </row>
    <row customHeight="true" ht="22" r="18">
      <c r="A18" s="16">
        <v>16</v>
      </c>
      <c r="B18" s="17" t="s">
        <v>120</v>
      </c>
      <c r="C18" s="17" t="s">
        <v>133</v>
      </c>
      <c r="D18" s="17" t="s">
        <v>134</v>
      </c>
      <c r="E18" s="16" t="s">
        <v>102</v>
      </c>
      <c r="F18" s="16">
        <v>1</v>
      </c>
      <c r="G18" s="18">
        <v>3500</v>
      </c>
      <c r="H18" s="18">
        <v>3500</v>
      </c>
      <c r="I18" s="17" t="s">
        <v>135</v>
      </c>
    </row>
    <row customHeight="true" ht="22" r="19">
      <c r="A19" s="13">
        <v>17</v>
      </c>
      <c r="B19" s="14" t="s">
        <v>120</v>
      </c>
      <c r="C19" s="14" t="s">
        <v>136</v>
      </c>
      <c r="D19" s="14" t="s">
        <v>137</v>
      </c>
      <c r="E19" s="13" t="s">
        <v>111</v>
      </c>
      <c r="F19" s="13">
        <v>1</v>
      </c>
      <c r="G19" s="15">
        <v>600</v>
      </c>
      <c r="H19" s="15">
        <v>600</v>
      </c>
      <c r="I19" s="14" t="s">
        <v>108</v>
      </c>
    </row>
    <row customHeight="true" ht="22" r="20">
      <c r="A20" s="16">
        <v>18</v>
      </c>
      <c r="B20" s="17" t="s">
        <v>138</v>
      </c>
      <c r="C20" s="17" t="s">
        <v>139</v>
      </c>
      <c r="D20" s="17" t="s">
        <v>140</v>
      </c>
      <c r="E20" s="16" t="s">
        <v>111</v>
      </c>
      <c r="F20" s="16">
        <v>1</v>
      </c>
      <c r="G20" s="18">
        <v>2500</v>
      </c>
      <c r="H20" s="18">
        <v>2500</v>
      </c>
      <c r="I20" s="17" t="s">
        <v>108</v>
      </c>
    </row>
    <row customHeight="true" ht="22" r="21">
      <c r="A21" s="13">
        <v>19</v>
      </c>
      <c r="B21" s="14" t="s">
        <v>141</v>
      </c>
      <c r="C21" s="14" t="s">
        <v>142</v>
      </c>
      <c r="D21" s="14" t="s">
        <v>143</v>
      </c>
      <c r="E21" s="13" t="s">
        <v>111</v>
      </c>
      <c r="F21" s="13">
        <v>1</v>
      </c>
      <c r="G21" s="15">
        <v>3000</v>
      </c>
      <c r="H21" s="15">
        <v>3000</v>
      </c>
      <c r="I21" s="14" t="s">
        <v>90</v>
      </c>
    </row>
    <row customHeight="true" ht="22" r="22">
      <c r="A22" s="16">
        <v>20</v>
      </c>
      <c r="B22" s="17" t="s">
        <v>141</v>
      </c>
      <c r="C22" s="17" t="s">
        <v>144</v>
      </c>
      <c r="D22" s="17" t="s">
        <v>145</v>
      </c>
      <c r="E22" s="16" t="s">
        <v>107</v>
      </c>
      <c r="F22" s="16">
        <v>1</v>
      </c>
      <c r="G22" s="18">
        <v>1200</v>
      </c>
      <c r="H22" s="18">
        <v>1200</v>
      </c>
      <c r="I22" s="17" t="s">
        <v>119</v>
      </c>
    </row>
    <row customHeight="true" ht="22" r="23">
      <c r="A23" s="13">
        <v>21</v>
      </c>
      <c r="B23" s="14" t="s">
        <v>141</v>
      </c>
      <c r="C23" s="14" t="s">
        <v>146</v>
      </c>
      <c r="D23" s="14" t="s">
        <v>147</v>
      </c>
      <c r="E23" s="13" t="s">
        <v>102</v>
      </c>
      <c r="F23" s="13">
        <v>1</v>
      </c>
      <c r="G23" s="15">
        <v>800</v>
      </c>
      <c r="H23" s="15">
        <v>800</v>
      </c>
      <c r="I23" s="14" t="s">
        <v>132</v>
      </c>
    </row>
    <row customHeight="true" ht="22" r="24">
      <c r="A24" s="16">
        <v>22</v>
      </c>
      <c r="B24" s="17" t="s">
        <v>148</v>
      </c>
      <c r="C24" s="17" t="s">
        <v>149</v>
      </c>
      <c r="D24" s="17" t="s">
        <v>145</v>
      </c>
      <c r="E24" s="16" t="s">
        <v>111</v>
      </c>
      <c r="F24" s="16">
        <v>1</v>
      </c>
      <c r="G24" s="18">
        <v>1800</v>
      </c>
      <c r="H24" s="18">
        <v>1800</v>
      </c>
      <c r="I24" s="17" t="s">
        <v>108</v>
      </c>
    </row>
    <row customHeight="true" ht="22" r="25">
      <c r="A25" s="13">
        <v>23</v>
      </c>
      <c r="B25" s="14" t="s">
        <v>150</v>
      </c>
      <c r="C25" s="14" t="s">
        <v>151</v>
      </c>
      <c r="D25" s="14" t="s">
        <v>152</v>
      </c>
      <c r="E25" s="13" t="s">
        <v>111</v>
      </c>
      <c r="F25" s="13">
        <v>1</v>
      </c>
      <c r="G25" s="15">
        <v>1500</v>
      </c>
      <c r="H25" s="15">
        <v>1500</v>
      </c>
      <c r="I25" s="14" t="s">
        <v>90</v>
      </c>
    </row>
    <row customHeight="true" ht="22" r="26">
      <c r="A26" s="16">
        <v>24</v>
      </c>
      <c r="B26" s="17" t="s">
        <v>150</v>
      </c>
      <c r="C26" s="17" t="s">
        <v>153</v>
      </c>
      <c r="D26" s="17" t="s">
        <v>154</v>
      </c>
      <c r="E26" s="16" t="s">
        <v>102</v>
      </c>
      <c r="F26" s="16">
        <v>1</v>
      </c>
      <c r="G26" s="18">
        <v>2000</v>
      </c>
      <c r="H26" s="18">
        <v>2000</v>
      </c>
      <c r="I26" s="17" t="s">
        <v>119</v>
      </c>
    </row>
    <row customHeight="true" ht="22" r="27">
      <c r="A27" s="13">
        <v>25</v>
      </c>
      <c r="B27" s="14" t="s">
        <v>150</v>
      </c>
      <c r="C27" s="14" t="s">
        <v>146</v>
      </c>
      <c r="D27" s="14" t="s">
        <v>155</v>
      </c>
      <c r="E27" s="13" t="s">
        <v>107</v>
      </c>
      <c r="F27" s="13">
        <v>1</v>
      </c>
      <c r="G27" s="15">
        <v>300</v>
      </c>
      <c r="H27" s="15">
        <v>300</v>
      </c>
      <c r="I27" s="14" t="s">
        <v>132</v>
      </c>
    </row>
    <row customHeight="true" ht="22" r="28">
      <c r="A28" s="16">
        <v>26</v>
      </c>
      <c r="B28" s="17" t="s">
        <v>156</v>
      </c>
      <c r="C28" s="17" t="s">
        <v>157</v>
      </c>
      <c r="D28" s="17" t="s">
        <v>145</v>
      </c>
      <c r="E28" s="16" t="s">
        <v>111</v>
      </c>
      <c r="F28" s="16">
        <v>1</v>
      </c>
      <c r="G28" s="18">
        <v>1600</v>
      </c>
      <c r="H28" s="18">
        <v>1600</v>
      </c>
      <c r="I28" s="17" t="s">
        <v>108</v>
      </c>
    </row>
    <row customHeight="true" ht="22" r="29">
      <c r="A29" s="13">
        <v>27</v>
      </c>
      <c r="B29" s="14" t="s">
        <v>158</v>
      </c>
      <c r="C29" s="14" t="s">
        <v>151</v>
      </c>
      <c r="D29" s="14" t="s">
        <v>152</v>
      </c>
      <c r="E29" s="13" t="s">
        <v>111</v>
      </c>
      <c r="F29" s="13">
        <v>1</v>
      </c>
      <c r="G29" s="15">
        <v>1200</v>
      </c>
      <c r="H29" s="15">
        <v>1200</v>
      </c>
      <c r="I29" s="14" t="s">
        <v>90</v>
      </c>
    </row>
    <row customHeight="true" ht="22" r="30">
      <c r="A30" s="16">
        <v>28</v>
      </c>
      <c r="B30" s="17" t="s">
        <v>158</v>
      </c>
      <c r="C30" s="17" t="s">
        <v>159</v>
      </c>
      <c r="D30" s="17" t="s">
        <v>145</v>
      </c>
      <c r="E30" s="16" t="s">
        <v>107</v>
      </c>
      <c r="F30" s="16">
        <v>1</v>
      </c>
      <c r="G30" s="18">
        <v>2200</v>
      </c>
      <c r="H30" s="18">
        <v>2200</v>
      </c>
      <c r="I30" s="17" t="s">
        <v>119</v>
      </c>
    </row>
    <row customHeight="true" ht="22" r="31">
      <c r="A31" s="13">
        <v>29</v>
      </c>
      <c r="B31" s="14" t="s">
        <v>158</v>
      </c>
      <c r="C31" s="14" t="s">
        <v>146</v>
      </c>
      <c r="D31" s="14" t="s">
        <v>155</v>
      </c>
      <c r="E31" s="13" t="s">
        <v>107</v>
      </c>
      <c r="F31" s="13">
        <v>1</v>
      </c>
      <c r="G31" s="15">
        <v>300</v>
      </c>
      <c r="H31" s="15">
        <v>300</v>
      </c>
      <c r="I31" s="14" t="s">
        <v>132</v>
      </c>
    </row>
    <row customHeight="true" ht="22" r="32">
      <c r="A32" s="16">
        <v>30</v>
      </c>
      <c r="B32" s="17" t="s">
        <v>160</v>
      </c>
      <c r="C32" s="17" t="s">
        <v>161</v>
      </c>
      <c r="D32" s="17" t="s">
        <v>162</v>
      </c>
      <c r="E32" s="16" t="s">
        <v>102</v>
      </c>
      <c r="F32" s="16">
        <v>2</v>
      </c>
      <c r="G32" s="18">
        <v>1500</v>
      </c>
      <c r="H32" s="18">
        <v>3000</v>
      </c>
      <c r="I32" s="17" t="s">
        <v>163</v>
      </c>
    </row>
    <row customHeight="true" ht="22" r="33">
      <c r="A33" s="13">
        <v>31</v>
      </c>
      <c r="B33" s="14" t="s">
        <v>160</v>
      </c>
      <c r="C33" s="14" t="s">
        <v>164</v>
      </c>
      <c r="D33" s="14" t="s">
        <v>165</v>
      </c>
      <c r="E33" s="13" t="s">
        <v>89</v>
      </c>
      <c r="F33" s="13">
        <v>2</v>
      </c>
      <c r="G33" s="15">
        <v>2500</v>
      </c>
      <c r="H33" s="15">
        <v>5000</v>
      </c>
      <c r="I33" s="14" t="s">
        <v>132</v>
      </c>
    </row>
    <row customHeight="true" ht="22" r="34">
      <c r="A34" s="16">
        <v>32</v>
      </c>
      <c r="B34" s="17" t="s">
        <v>160</v>
      </c>
      <c r="C34" s="17" t="s">
        <v>166</v>
      </c>
      <c r="D34" s="17" t="s">
        <v>167</v>
      </c>
      <c r="E34" s="16" t="s">
        <v>102</v>
      </c>
      <c r="F34" s="16">
        <v>2</v>
      </c>
      <c r="G34" s="18">
        <v>1200</v>
      </c>
      <c r="H34" s="18">
        <v>2400</v>
      </c>
      <c r="I34" s="17" t="s">
        <v>132</v>
      </c>
    </row>
    <row customHeight="true" ht="22" r="35">
      <c r="A35" s="13">
        <v>33</v>
      </c>
      <c r="B35" s="14" t="s">
        <v>160</v>
      </c>
      <c r="C35" s="14" t="s">
        <v>168</v>
      </c>
      <c r="D35" s="14" t="s">
        <v>169</v>
      </c>
      <c r="E35" s="13" t="s">
        <v>102</v>
      </c>
      <c r="F35" s="13">
        <v>2</v>
      </c>
      <c r="G35" s="15">
        <v>800</v>
      </c>
      <c r="H35" s="15">
        <v>1600</v>
      </c>
      <c r="I35" s="14" t="s">
        <v>132</v>
      </c>
    </row>
    <row customHeight="true" ht="22" r="36">
      <c r="A36" s="16">
        <v>34</v>
      </c>
      <c r="B36" s="17" t="s">
        <v>170</v>
      </c>
      <c r="C36" s="17" t="s">
        <v>171</v>
      </c>
      <c r="D36" s="17" t="s">
        <v>172</v>
      </c>
      <c r="E36" s="16" t="s">
        <v>102</v>
      </c>
      <c r="F36" s="16">
        <v>1</v>
      </c>
      <c r="G36" s="18">
        <v>1500</v>
      </c>
      <c r="H36" s="18">
        <v>1500</v>
      </c>
      <c r="I36" s="17" t="s">
        <v>108</v>
      </c>
    </row>
    <row customHeight="true" ht="22" r="37">
      <c r="A37" s="13">
        <v>35</v>
      </c>
      <c r="B37" s="14" t="s">
        <v>170</v>
      </c>
      <c r="C37" s="14" t="s">
        <v>173</v>
      </c>
      <c r="D37" s="14" t="s">
        <v>174</v>
      </c>
      <c r="E37" s="13" t="s">
        <v>102</v>
      </c>
      <c r="F37" s="13">
        <v>1</v>
      </c>
      <c r="G37" s="15">
        <v>2000</v>
      </c>
      <c r="H37" s="15">
        <v>2000</v>
      </c>
      <c r="I37" s="14" t="s">
        <v>90</v>
      </c>
    </row>
    <row customHeight="true" ht="22" r="38">
      <c r="A38" s="19" t="s">
        <v>175</v>
      </c>
      <c r="B38" s="20" t="s">
        <v>120</v>
      </c>
      <c r="C38" s="20" t="s">
        <v>176</v>
      </c>
      <c r="D38" s="20" t="s">
        <v>177</v>
      </c>
      <c r="E38" s="19" t="s">
        <v>89</v>
      </c>
      <c r="F38" s="19">
        <v>1</v>
      </c>
      <c r="G38" s="21" t="s">
        <v>178</v>
      </c>
      <c r="H38" s="21" t="s">
        <v>178</v>
      </c>
      <c r="I38" s="20" t="s">
        <v>95</v>
      </c>
    </row>
    <row customHeight="true" ht="22" r="39">
      <c r="A39" s="19" t="s">
        <v>179</v>
      </c>
      <c r="B39" s="20" t="s">
        <v>138</v>
      </c>
      <c r="C39" s="20" t="s">
        <v>180</v>
      </c>
      <c r="D39" s="20" t="s">
        <v>177</v>
      </c>
      <c r="E39" s="19" t="s">
        <v>89</v>
      </c>
      <c r="F39" s="19">
        <v>1</v>
      </c>
      <c r="G39" s="21" t="s">
        <v>178</v>
      </c>
      <c r="H39" s="21" t="s">
        <v>178</v>
      </c>
      <c r="I39" s="20" t="s">
        <v>95</v>
      </c>
    </row>
    <row customHeight="true" ht="22" r="40">
      <c r="A40" s="19" t="s">
        <v>181</v>
      </c>
      <c r="B40" s="20" t="s">
        <v>148</v>
      </c>
      <c r="C40" s="20" t="s">
        <v>180</v>
      </c>
      <c r="D40" s="20" t="s">
        <v>177</v>
      </c>
      <c r="E40" s="19" t="s">
        <v>89</v>
      </c>
      <c r="F40" s="19">
        <v>1</v>
      </c>
      <c r="G40" s="21" t="s">
        <v>178</v>
      </c>
      <c r="H40" s="21" t="s">
        <v>178</v>
      </c>
      <c r="I40" s="20" t="s">
        <v>95</v>
      </c>
    </row>
    <row customHeight="true" ht="22" r="41">
      <c r="A41" s="19" t="s">
        <v>182</v>
      </c>
      <c r="B41" s="20" t="s">
        <v>156</v>
      </c>
      <c r="C41" s="20" t="s">
        <v>180</v>
      </c>
      <c r="D41" s="20" t="s">
        <v>177</v>
      </c>
      <c r="E41" s="19" t="s">
        <v>89</v>
      </c>
      <c r="F41" s="19">
        <v>1</v>
      </c>
      <c r="G41" s="21" t="s">
        <v>178</v>
      </c>
      <c r="H41" s="21" t="s">
        <v>178</v>
      </c>
      <c r="I41" s="20" t="s">
        <v>95</v>
      </c>
    </row>
    <row customHeight="true" ht="29" r="42">
      <c r="A42" s="22" t="s">
        <v>183</v>
      </c>
      <c r="H42" s="23">
        <f>SUM(H3:H41)</f>
      </c>
    </row>
  </sheetData>
  <mergeCells>
    <mergeCell ref="A1:I1"/>
    <mergeCell ref="A42:G42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42"/>
    <col collapsed="false" customWidth="true" hidden="false" max="2" min="2" style="0" width="18"/>
    <col collapsed="false" customWidth="true" hidden="false" max="3" min="3" style="0" width="10"/>
  </cols>
  <sheetData>
    <row customHeight="true" ht="38" r="1">
      <c r="A1" s="24" t="s">
        <v>184</v>
      </c>
    </row>
    <row customHeight="true" ht="29" r="2">
      <c r="A2" s="25" t="s">
        <v>185</v>
      </c>
      <c r="B2" s="25" t="s">
        <v>186</v>
      </c>
      <c r="C2" s="25" t="s">
        <v>187</v>
      </c>
    </row>
    <row customHeight="true" ht="22" r="3">
      <c r="A3" s="26" t="s">
        <v>188</v>
      </c>
      <c r="B3" s="27">
        <f>'硬装清单'!H30</f>
      </c>
      <c r="C3" s="28">
        <f>B3/B5</f>
      </c>
    </row>
    <row customHeight="true" ht="22" r="4">
      <c r="A4" s="29" t="s">
        <v>189</v>
      </c>
      <c r="B4" s="30">
        <f>'软装清单'!H42</f>
      </c>
      <c r="C4" s="31">
        <f>B4/B5</f>
      </c>
    </row>
    <row customHeight="true" ht="22" r="5">
      <c r="A5" s="26" t="s">
        <v>190</v>
      </c>
      <c r="B5" s="27">
        <f>B3+B4</f>
      </c>
      <c r="C5" s="28" t="s">
        <v>191</v>
      </c>
    </row>
  </sheetData>
  <mergeCells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{"Label":"1","ContentProducer":"001191110102MACQD9K64010000","ProduceID":"7647462337183091961","ReservedCode1":"","ContentPropagator":"","PropagateID":"","ReservedCode2":""}</vt:lpwstr>
  </property>
</Properties>
</file>